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tableau\"/>
    </mc:Choice>
  </mc:AlternateContent>
  <xr:revisionPtr revIDLastSave="0" documentId="13_ncr:1_{F1DB74A4-54F7-470E-B5E9-DCB9D20C680D}" xr6:coauthVersionLast="36" xr6:coauthVersionMax="47" xr10:uidLastSave="{00000000-0000-0000-0000-000000000000}"/>
  <bookViews>
    <workbookView xWindow="0" yWindow="0" windowWidth="15345" windowHeight="447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16" i="16" l="1"/>
  <c r="B16" i="16"/>
  <c r="B7" i="18"/>
  <c r="B6" i="18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  <c r="H42" i="1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22" i="19"/>
  <c r="B8" i="18" l="1"/>
</calcChain>
</file>

<file path=xl/sharedStrings.xml><?xml version="1.0" encoding="utf-8"?>
<sst xmlns="http://schemas.openxmlformats.org/spreadsheetml/2006/main" count="326" uniqueCount="180">
  <si>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</si>
  <si>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</si>
  <si>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</si>
  <si>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</si>
  <si>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</si>
  <si>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</si>
  <si>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</si>
  <si>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</si>
  <si>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</si>
  <si>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</si>
  <si>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</si>
  <si>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</si>
  <si>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</si>
  <si>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</si>
  <si>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</si>
  <si>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</si>
  <si>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</si>
  <si>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</si>
  <si>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</si>
  <si>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</si>
  <si>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</si>
  <si>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</si>
  <si>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</si>
  <si>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</si>
  <si>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</si>
  <si>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</si>
  <si>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</si>
  <si>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</si>
  <si>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</si>
  <si>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</si>
  <si>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</si>
  <si>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</si>
  <si>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</si>
  <si>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</si>
  <si>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</si>
  <si>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</si>
  <si>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</si>
  <si>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</si>
  <si>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</si>
  <si>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</si>
  <si>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</si>
  <si>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</si>
  <si>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</si>
  <si>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</si>
  <si>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</si>
  <si>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</si>
  <si>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</si>
  <si>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</si>
  <si>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</si>
  <si>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</si>
  <si>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</si>
  <si>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</si>
  <si>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</si>
  <si>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</si>
  <si>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</si>
  <si>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</si>
  <si>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</si>
  <si>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</si>
  <si>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</si>
  <si>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</si>
  <si>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</si>
  <si>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</si>
  <si>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</si>
  <si>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</si>
  <si>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</si>
  <si>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</si>
  <si>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</si>
  <si>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</si>
  <si>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</si>
  <si>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</si>
  <si>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</si>
  <si>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</si>
  <si>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</si>
  <si>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</si>
  <si>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</si>
  <si>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</si>
  <si>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</si>
  <si>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</si>
  <si>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</si>
  <si>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</si>
  <si>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</si>
  <si>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</si>
  <si>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</si>
  <si>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</si>
  <si>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</si>
  <si>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</si>
  <si>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</si>
  <si>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</si>
  <si>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</si>
  <si>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</si>
  <si>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</si>
  <si>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</si>
  <si>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</si>
  <si>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</si>
  <si>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</si>
  <si>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</si>
  <si>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</si>
  <si>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</si>
  <si>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</si>
  <si>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</si>
  <si>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</si>
  <si>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</si>
  <si>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</si>
  <si>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</si>
  <si>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</si>
  <si>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</si>
  <si>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</si>
  <si>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</si>
  <si>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</si>
  <si>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</si>
  <si>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</si>
  <si>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</si>
  <si>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</si>
  <si>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</si>
  <si>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</si>
  <si>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</si>
  <si>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</si>
  <si>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</si>
  <si>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</si>
  <si>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</si>
  <si>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</si>
  <si>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</si>
  <si>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</si>
  <si>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</si>
  <si>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</si>
  <si>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</si>
  <si>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</si>
  <si>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</si>
  <si>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</si>
  <si>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</si>
  <si>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</si>
  <si>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</si>
  <si>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</si>
  <si>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</si>
  <si>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</si>
  <si>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</si>
  <si>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</si>
  <si>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</si>
  <si>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</si>
  <si>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</si>
  <si>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</si>
  <si>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</si>
  <si>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</si>
  <si>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</si>
  <si>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</si>
  <si>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</si>
  <si>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</si>
  <si>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</si>
  <si>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</si>
  <si>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</si>
  <si>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</si>
  <si>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</si>
  <si>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</si>
  <si>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</si>
  <si>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</si>
  <si>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</si>
  <si>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</si>
  <si>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</si>
  <si>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</si>
  <si>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</si>
  <si>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</si>
  <si>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</si>
  <si>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</si>
  <si>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</si>
  <si>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</si>
  <si>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</si>
  <si>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</si>
  <si>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</si>
  <si>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</si>
  <si>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</si>
  <si>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</si>
  <si>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</si>
  <si>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</si>
  <si>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</si>
  <si>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</si>
  <si>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</si>
  <si>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All 20 values must be substituted with the value '20'</t>
  </si>
  <si>
    <t xml:space="preserve">sum function is used </t>
  </si>
  <si>
    <t xml:space="preserve">first replace nan value with 20 then add all of them result will be 600 </t>
  </si>
  <si>
    <t>SUMIFS(H2:H100, B2:B100, "car2", H2:H100, 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</si>
</sst>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49" fontId="3" fillId="0" borderId="2" xfId="0" applyNumberFormat="1" applyFont="1" applyBorder="1"/>
    <xf numFmtId="0" fontId="18" fillId="0" borderId="0" xfId="0" applyFont="1"/>
    <xf numFmtId="0" fontId="1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0">
    <dxf>
      <font>
        <color rgb="FFFF0000"/>
      </font>
    </dxf>
    <dxf>
      <font>
        <color rgb="FF9C0006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9"/>
      <tableStyleElement type="headerRow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40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172</v>
      </c>
    </row>
    <row r="9" spans="1:3" x14ac:dyDescent="0.2">
      <c r="A9" s="37" t="s">
        <v>170</v>
      </c>
      <c r="B9" s="26" t="s">
        <v>168</v>
      </c>
    </row>
    <row r="10" spans="1:3" x14ac:dyDescent="0.2">
      <c r="A10" s="36" t="s">
        <v>171</v>
      </c>
      <c r="B10" s="38">
        <v>25</v>
      </c>
    </row>
    <row r="11" spans="1:3" x14ac:dyDescent="0.2">
      <c r="A11" s="36" t="s">
        <v>55</v>
      </c>
      <c r="B11" s="38">
        <v>30</v>
      </c>
    </row>
    <row r="12" spans="1:3" x14ac:dyDescent="0.2">
      <c r="A12" s="36" t="s">
        <v>56</v>
      </c>
      <c r="B12" s="38">
        <v>10</v>
      </c>
    </row>
    <row r="13" spans="1:3" x14ac:dyDescent="0.2">
      <c r="A13" s="36" t="s">
        <v>85</v>
      </c>
      <c r="B13" s="38">
        <v>20</v>
      </c>
    </row>
    <row r="14" spans="1:3" x14ac:dyDescent="0.2">
      <c r="A14" s="36" t="s">
        <v>98</v>
      </c>
      <c r="B14" s="38">
        <v>40</v>
      </c>
    </row>
    <row r="15" spans="1:3" x14ac:dyDescent="0.2">
      <c r="A15" s="39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2"/>
  <sheetViews>
    <sheetView tabSelected="1" zoomScaleNormal="100" workbookViewId="0">
      <pane ySplit="1" topLeftCell="A2" activePane="bottomLeft" state="frozen"/>
      <selection activeCell="K1" sqref="K1"/>
      <selection pane="bottomLeft" activeCell="Y45" sqref="Y45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25" width="12.1640625" style="1" bestFit="1" customWidth="1"/>
    <col min="26" max="16384" width="9" style="1"/>
  </cols>
  <sheetData>
    <row r="1" spans="1:25" s="3" customFormat="1" ht="14.85" customHeight="1" x14ac:dyDescent="0.2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  <c r="Y1" s="3" t="s">
        <v>105</v>
      </c>
    </row>
    <row r="2" spans="1:25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1" t="str">
        <f>TEXT(X2,"YYYY-MM-DD")</f>
        <v>2023-05-05</v>
      </c>
    </row>
    <row r="3" spans="1:25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1" t="str">
        <f t="shared" ref="Y3:Y40" si="0">TEXT(X3,"YYYY-MM-DD")</f>
        <v>2023-05-02</v>
      </c>
    </row>
    <row r="4" spans="1:25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1" t="str">
        <f t="shared" si="0"/>
        <v>2023-05-09</v>
      </c>
    </row>
    <row r="5" spans="1:25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1" t="str">
        <f t="shared" si="0"/>
        <v>2023-05-13</v>
      </c>
    </row>
    <row r="6" spans="1:25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1" t="str">
        <f t="shared" si="0"/>
        <v>2023-05-30</v>
      </c>
    </row>
    <row r="7" spans="1:25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1" t="str">
        <f t="shared" si="0"/>
        <v>2023-05-11</v>
      </c>
    </row>
    <row r="8" spans="1:25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1" t="str">
        <f t="shared" si="0"/>
        <v>2023-05-06</v>
      </c>
    </row>
    <row r="9" spans="1:25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1" t="str">
        <f t="shared" si="0"/>
        <v>2023-06-21</v>
      </c>
    </row>
    <row r="10" spans="1:25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1" t="str">
        <f t="shared" si="0"/>
        <v>2023-06-15</v>
      </c>
    </row>
    <row r="11" spans="1:25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1" t="str">
        <f t="shared" si="0"/>
        <v>2023-06-27</v>
      </c>
    </row>
    <row r="12" spans="1:25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27">
        <v>45116</v>
      </c>
      <c r="Y12" s="1" t="str">
        <f t="shared" si="0"/>
        <v>2023-07-09</v>
      </c>
    </row>
    <row r="13" spans="1:25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1" t="str">
        <f t="shared" si="0"/>
        <v>2023-07-03</v>
      </c>
    </row>
    <row r="14" spans="1:25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1" t="str">
        <f t="shared" si="0"/>
        <v>2023-06-18</v>
      </c>
    </row>
    <row r="15" spans="1:25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1" t="str">
        <f t="shared" si="0"/>
        <v>2023-07-06</v>
      </c>
    </row>
    <row r="16" spans="1:25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1" t="str">
        <f t="shared" si="0"/>
        <v>2023-05-17</v>
      </c>
    </row>
    <row r="17" spans="1:25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1" t="str">
        <f t="shared" si="0"/>
        <v>2023-05-25</v>
      </c>
    </row>
    <row r="18" spans="1:25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1" t="str">
        <f t="shared" si="0"/>
        <v>2023-06-08</v>
      </c>
    </row>
    <row r="19" spans="1:25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1" t="str">
        <f t="shared" si="0"/>
        <v>2023-06-22</v>
      </c>
    </row>
    <row r="20" spans="1:25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1" t="str">
        <f t="shared" si="0"/>
        <v>2023-06-14</v>
      </c>
    </row>
    <row r="21" spans="1:25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1" t="str">
        <f t="shared" si="0"/>
        <v>2023-06-02</v>
      </c>
    </row>
    <row r="22" spans="1:25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1" t="str">
        <f t="shared" si="0"/>
        <v>2023-05-29</v>
      </c>
    </row>
    <row r="23" spans="1:25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1" t="str">
        <f t="shared" si="0"/>
        <v>2023-07-03</v>
      </c>
    </row>
    <row r="24" spans="1:25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1" t="str">
        <f t="shared" si="0"/>
        <v>2023-07-07</v>
      </c>
    </row>
    <row r="25" spans="1:25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1" t="str">
        <f t="shared" si="0"/>
        <v>2023-07-11</v>
      </c>
    </row>
    <row r="26" spans="1:25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27">
        <v>45142</v>
      </c>
      <c r="Y26" s="1" t="str">
        <f t="shared" si="0"/>
        <v>2023-08-04</v>
      </c>
    </row>
    <row r="27" spans="1:25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1" t="str">
        <f t="shared" si="0"/>
        <v>2023-08-08</v>
      </c>
    </row>
    <row r="28" spans="1:25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1" t="str">
        <f t="shared" si="0"/>
        <v>2023-07-01</v>
      </c>
    </row>
    <row r="29" spans="1:25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1" t="str">
        <f t="shared" si="0"/>
        <v>2023-08-15</v>
      </c>
    </row>
    <row r="30" spans="1:25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1" t="str">
        <f t="shared" si="0"/>
        <v>2023-08-12</v>
      </c>
    </row>
    <row r="31" spans="1:25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1" t="str">
        <f t="shared" si="0"/>
        <v>2023-08-19</v>
      </c>
    </row>
    <row r="32" spans="1:25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1" t="str">
        <f t="shared" si="0"/>
        <v>2023-08-05</v>
      </c>
    </row>
    <row r="33" spans="1:25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1" t="str">
        <f t="shared" si="0"/>
        <v>2023-08-28</v>
      </c>
    </row>
    <row r="34" spans="1:25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1" t="str">
        <f t="shared" si="0"/>
        <v>2023-08-24</v>
      </c>
    </row>
    <row r="35" spans="1:25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1" t="str">
        <f t="shared" si="0"/>
        <v>2023-08-22</v>
      </c>
    </row>
    <row r="36" spans="1:25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1" t="str">
        <f t="shared" si="0"/>
        <v>2023-09-10</v>
      </c>
    </row>
    <row r="37" spans="1:25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1" t="str">
        <f t="shared" si="0"/>
        <v>2023-08-19</v>
      </c>
    </row>
    <row r="38" spans="1:25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1" t="str">
        <f t="shared" si="0"/>
        <v>2023-08-05</v>
      </c>
    </row>
    <row r="39" spans="1:25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1" t="str">
        <f t="shared" si="0"/>
        <v>2023-08-28</v>
      </c>
    </row>
    <row r="40" spans="1:25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1" t="str">
        <f t="shared" si="0"/>
        <v>2023-08-24</v>
      </c>
    </row>
    <row r="42" spans="1:25" x14ac:dyDescent="0.25">
      <c r="H42" s="49">
        <f>SUMIFS(H2:H100, B2:B100, "car2", H2:H100, "&gt;20")</f>
        <v>0</v>
      </c>
    </row>
  </sheetData>
  <conditionalFormatting sqref="A1:A1048576">
    <cfRule type="duplicateValues" dxfId="14" priority="8"/>
  </conditionalFormatting>
  <conditionalFormatting sqref="B1:B1048576">
    <cfRule type="duplicateValues" dxfId="13" priority="7"/>
  </conditionalFormatting>
  <conditionalFormatting sqref="A1:X40">
    <cfRule type="cellIs" dxfId="1" priority="6" operator="lessThan">
      <formula>-1</formula>
    </cfRule>
    <cfRule type="cellIs" dxfId="0" priority="5" operator="equal">
      <formula>-1</formula>
    </cfRule>
  </conditionalFormatting>
  <conditionalFormatting sqref="N1">
    <cfRule type="cellIs" dxfId="12" priority="4" operator="equal">
      <formula>0</formula>
    </cfRule>
  </conditionalFormatting>
  <conditionalFormatting sqref="A1">
    <cfRule type="cellIs" dxfId="4" priority="3" operator="equal">
      <formula>0</formula>
    </cfRule>
    <cfRule type="cellIs" dxfId="5" priority="2" operator="equal">
      <formula>0</formula>
    </cfRule>
    <cfRule type="colorScale" priority="1">
      <colorScale>
        <cfvo type="num" val="0"/>
        <cfvo type="max"/>
        <color theme="9"/>
        <color rgb="FFFFEF9C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3" sqref="B23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49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5" t="s">
        <v>179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8" sqref="B8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2" customFormat="1" ht="21" x14ac:dyDescent="0.35">
      <c r="A1" s="43" t="s">
        <v>55</v>
      </c>
      <c r="B1" s="42" t="s">
        <v>164</v>
      </c>
    </row>
    <row r="2" spans="1:7" s="42" customFormat="1" ht="21" x14ac:dyDescent="0.35">
      <c r="B2" s="42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Dataset!G2</f>
        <v>2.7</v>
      </c>
      <c r="C6" s="12"/>
      <c r="D6" s="12"/>
      <c r="E6" s="12"/>
      <c r="F6" s="8"/>
    </row>
    <row r="7" spans="1:7" ht="15" x14ac:dyDescent="0.25">
      <c r="A7" s="7" t="s">
        <v>4</v>
      </c>
      <c r="B7" s="12">
        <f>VLOOKUP(A6,Task_2!$A$2:$G$40,2,FALSE)</f>
        <v>2.7</v>
      </c>
      <c r="C7" s="12"/>
      <c r="D7" s="12"/>
      <c r="E7" s="12"/>
      <c r="F7" s="8"/>
    </row>
    <row r="8" spans="1:7" ht="15" x14ac:dyDescent="0.25">
      <c r="A8" s="7" t="s">
        <v>7</v>
      </c>
      <c r="B8" s="12">
        <f ca="1">VLOOKUP(A8,Task_2!$A$2:$G$40,2,FALSE)</f>
        <v>0</v>
      </c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2"/>
      <c r="C28" s="32"/>
      <c r="D28" s="32"/>
      <c r="E28" s="32"/>
      <c r="F28" s="32"/>
    </row>
    <row r="29" spans="1:6" ht="15" x14ac:dyDescent="0.25">
      <c r="A29" s="19" t="s">
        <v>83</v>
      </c>
      <c r="B29" s="32"/>
      <c r="C29" s="32"/>
      <c r="D29" s="32"/>
      <c r="E29" s="32"/>
      <c r="F29" s="32"/>
    </row>
    <row r="30" spans="1:6" ht="15" x14ac:dyDescent="0.25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3" zoomScaleNormal="100" workbookViewId="0">
      <selection activeCell="C17" sqref="C1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2" customFormat="1" ht="21" x14ac:dyDescent="0.35">
      <c r="A1" s="43" t="s">
        <v>56</v>
      </c>
      <c r="B1" s="42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4" t="s">
        <v>53</v>
      </c>
      <c r="B5" s="41"/>
    </row>
    <row r="6" spans="1:10" ht="18.75" x14ac:dyDescent="0.3">
      <c r="A6" s="44" t="s">
        <v>153</v>
      </c>
      <c r="B6" s="41"/>
    </row>
    <row r="7" spans="1:10" ht="18.75" x14ac:dyDescent="0.3">
      <c r="A7" s="44"/>
      <c r="B7" s="41"/>
    </row>
    <row r="9" spans="1:10" ht="23.25" x14ac:dyDescent="0.35">
      <c r="A9" s="18" t="s">
        <v>165</v>
      </c>
      <c r="I9" s="2"/>
      <c r="J9" s="2"/>
    </row>
    <row r="10" spans="1:10" x14ac:dyDescent="0.25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47" t="s">
        <v>121</v>
      </c>
      <c r="B16" s="12" t="str">
        <f>LEFT(A16,FIND("",A16)*5)</f>
        <v>20000</v>
      </c>
      <c r="C16" s="1" t="e">
        <f ca="1">MI(A16,FIND("",A16)-1)</f>
        <v>#NAME?</v>
      </c>
      <c r="D16" s="12"/>
      <c r="F16" s="12"/>
    </row>
    <row r="17" spans="1:6" x14ac:dyDescent="0.25">
      <c r="A17" s="7" t="s">
        <v>122</v>
      </c>
      <c r="B17" s="12" t="str">
        <f t="shared" ref="B17:B54" si="0">LEFT(A17,FIND("",A17)*5)</f>
        <v>20002</v>
      </c>
      <c r="D17" s="12"/>
      <c r="F17" s="12"/>
    </row>
    <row r="18" spans="1:6" x14ac:dyDescent="0.25">
      <c r="A18" s="7" t="s">
        <v>123</v>
      </c>
      <c r="B18" s="12" t="str">
        <f t="shared" si="0"/>
        <v>20004</v>
      </c>
      <c r="D18" s="12"/>
      <c r="F18" s="12"/>
    </row>
    <row r="19" spans="1:6" x14ac:dyDescent="0.25">
      <c r="A19" s="7" t="s">
        <v>124</v>
      </c>
      <c r="B19" s="12" t="str">
        <f t="shared" si="0"/>
        <v>20006</v>
      </c>
      <c r="D19" s="12"/>
      <c r="F19" s="12"/>
    </row>
    <row r="20" spans="1:6" x14ac:dyDescent="0.25">
      <c r="A20" s="7" t="s">
        <v>125</v>
      </c>
      <c r="B20" s="12" t="str">
        <f t="shared" si="0"/>
        <v>20008</v>
      </c>
      <c r="D20" s="12"/>
      <c r="F20" s="12"/>
    </row>
    <row r="21" spans="1:6" x14ac:dyDescent="0.25">
      <c r="A21" s="7" t="s">
        <v>126</v>
      </c>
      <c r="B21" s="12" t="str">
        <f t="shared" si="0"/>
        <v>20010</v>
      </c>
      <c r="D21" s="12"/>
      <c r="F21" s="12"/>
    </row>
    <row r="22" spans="1:6" x14ac:dyDescent="0.25">
      <c r="A22" s="7" t="s">
        <v>127</v>
      </c>
      <c r="B22" s="12" t="str">
        <f t="shared" si="0"/>
        <v>20012</v>
      </c>
      <c r="D22" s="12"/>
      <c r="F22" s="12"/>
    </row>
    <row r="23" spans="1:6" x14ac:dyDescent="0.25">
      <c r="A23" s="7" t="s">
        <v>128</v>
      </c>
      <c r="B23" s="12" t="str">
        <f t="shared" si="0"/>
        <v>20014</v>
      </c>
      <c r="D23" s="12"/>
      <c r="F23" s="12"/>
    </row>
    <row r="24" spans="1:6" x14ac:dyDescent="0.25">
      <c r="A24" s="7" t="s">
        <v>129</v>
      </c>
      <c r="B24" s="12" t="str">
        <f t="shared" si="0"/>
        <v>20016</v>
      </c>
      <c r="D24" s="12"/>
      <c r="F24" s="12"/>
    </row>
    <row r="25" spans="1:6" x14ac:dyDescent="0.25">
      <c r="A25" s="7" t="s">
        <v>130</v>
      </c>
      <c r="B25" s="12" t="str">
        <f t="shared" si="0"/>
        <v>20018</v>
      </c>
      <c r="D25" s="12"/>
      <c r="F25" s="12"/>
    </row>
    <row r="26" spans="1:6" x14ac:dyDescent="0.25">
      <c r="A26" s="7" t="s">
        <v>131</v>
      </c>
      <c r="B26" s="12" t="str">
        <f t="shared" si="0"/>
        <v>20020</v>
      </c>
      <c r="D26" s="12"/>
      <c r="F26" s="12"/>
    </row>
    <row r="27" spans="1:6" x14ac:dyDescent="0.25">
      <c r="A27" s="7" t="s">
        <v>132</v>
      </c>
      <c r="B27" s="12" t="str">
        <f t="shared" si="0"/>
        <v>20022</v>
      </c>
      <c r="D27" s="12"/>
      <c r="F27" s="12"/>
    </row>
    <row r="28" spans="1:6" x14ac:dyDescent="0.25">
      <c r="A28" s="7" t="s">
        <v>133</v>
      </c>
      <c r="B28" s="12" t="str">
        <f t="shared" si="0"/>
        <v>20024</v>
      </c>
      <c r="D28" s="12"/>
      <c r="F28" s="12"/>
    </row>
    <row r="29" spans="1:6" x14ac:dyDescent="0.25">
      <c r="A29" s="7" t="s">
        <v>134</v>
      </c>
      <c r="B29" s="12" t="str">
        <f t="shared" si="0"/>
        <v>20026</v>
      </c>
      <c r="D29" s="12"/>
      <c r="F29" s="12"/>
    </row>
    <row r="30" spans="1:6" x14ac:dyDescent="0.25">
      <c r="A30" s="7" t="s">
        <v>135</v>
      </c>
      <c r="B30" s="12" t="str">
        <f t="shared" si="0"/>
        <v>20028</v>
      </c>
      <c r="D30" s="12"/>
      <c r="F30" s="12"/>
    </row>
    <row r="31" spans="1:6" x14ac:dyDescent="0.25">
      <c r="A31" s="7" t="s">
        <v>136</v>
      </c>
      <c r="B31" s="12" t="str">
        <f t="shared" si="0"/>
        <v>20030</v>
      </c>
      <c r="D31" s="12"/>
      <c r="F31" s="12"/>
    </row>
    <row r="32" spans="1:6" x14ac:dyDescent="0.25">
      <c r="A32" s="7" t="s">
        <v>137</v>
      </c>
      <c r="B32" s="12" t="str">
        <f t="shared" si="0"/>
        <v>20032</v>
      </c>
      <c r="D32" s="12"/>
      <c r="F32" s="12"/>
    </row>
    <row r="33" spans="1:6" x14ac:dyDescent="0.25">
      <c r="A33" s="7" t="s">
        <v>138</v>
      </c>
      <c r="B33" s="12" t="str">
        <f t="shared" si="0"/>
        <v>20034</v>
      </c>
      <c r="D33" s="12"/>
      <c r="F33" s="12"/>
    </row>
    <row r="34" spans="1:6" x14ac:dyDescent="0.25">
      <c r="A34" s="7" t="s">
        <v>139</v>
      </c>
      <c r="B34" s="12" t="str">
        <f t="shared" si="0"/>
        <v>20036</v>
      </c>
      <c r="D34" s="12"/>
      <c r="F34" s="12"/>
    </row>
    <row r="35" spans="1:6" x14ac:dyDescent="0.25">
      <c r="A35" s="7" t="s">
        <v>140</v>
      </c>
      <c r="B35" s="12" t="str">
        <f t="shared" si="0"/>
        <v>20038</v>
      </c>
      <c r="D35" s="12"/>
      <c r="F35" s="12"/>
    </row>
    <row r="36" spans="1:6" x14ac:dyDescent="0.25">
      <c r="A36" s="7" t="s">
        <v>141</v>
      </c>
      <c r="B36" s="12" t="str">
        <f t="shared" si="0"/>
        <v>20040</v>
      </c>
      <c r="D36" s="12"/>
      <c r="F36" s="12"/>
    </row>
    <row r="37" spans="1:6" x14ac:dyDescent="0.25">
      <c r="A37" s="7" t="s">
        <v>142</v>
      </c>
      <c r="B37" s="12" t="str">
        <f t="shared" si="0"/>
        <v>20042</v>
      </c>
      <c r="D37" s="12"/>
      <c r="F37" s="12"/>
    </row>
    <row r="38" spans="1:6" x14ac:dyDescent="0.25">
      <c r="A38" s="7" t="s">
        <v>143</v>
      </c>
      <c r="B38" s="12" t="str">
        <f t="shared" si="0"/>
        <v>20044</v>
      </c>
      <c r="D38" s="12"/>
      <c r="F38" s="12"/>
    </row>
    <row r="39" spans="1:6" x14ac:dyDescent="0.25">
      <c r="A39" s="7" t="s">
        <v>144</v>
      </c>
      <c r="B39" s="12" t="str">
        <f t="shared" si="0"/>
        <v>20046</v>
      </c>
      <c r="D39" s="12"/>
      <c r="F39" s="12"/>
    </row>
    <row r="40" spans="1:6" x14ac:dyDescent="0.25">
      <c r="A40" s="7" t="s">
        <v>145</v>
      </c>
      <c r="B40" s="12" t="str">
        <f t="shared" si="0"/>
        <v>20048</v>
      </c>
      <c r="D40" s="12"/>
      <c r="F40" s="12"/>
    </row>
    <row r="41" spans="1:6" x14ac:dyDescent="0.25">
      <c r="A41" s="7" t="s">
        <v>146</v>
      </c>
      <c r="B41" s="12" t="str">
        <f t="shared" si="0"/>
        <v>20050</v>
      </c>
      <c r="D41" s="12"/>
      <c r="F41" s="12"/>
    </row>
    <row r="42" spans="1:6" x14ac:dyDescent="0.25">
      <c r="A42" s="7" t="s">
        <v>147</v>
      </c>
      <c r="B42" s="12" t="str">
        <f t="shared" si="0"/>
        <v>20052</v>
      </c>
      <c r="D42" s="12"/>
      <c r="F42" s="12"/>
    </row>
    <row r="43" spans="1:6" x14ac:dyDescent="0.25">
      <c r="A43" s="7" t="s">
        <v>148</v>
      </c>
      <c r="B43" s="12" t="str">
        <f t="shared" si="0"/>
        <v>20054</v>
      </c>
      <c r="D43" s="12"/>
      <c r="F43" s="12"/>
    </row>
    <row r="44" spans="1:6" x14ac:dyDescent="0.25">
      <c r="A44" s="7" t="s">
        <v>149</v>
      </c>
      <c r="B44" s="12" t="str">
        <f t="shared" si="0"/>
        <v>20058</v>
      </c>
      <c r="D44" s="12"/>
      <c r="F44" s="12"/>
    </row>
    <row r="45" spans="1:6" x14ac:dyDescent="0.25">
      <c r="A45" s="7" t="s">
        <v>150</v>
      </c>
      <c r="B45" s="12" t="str">
        <f t="shared" si="0"/>
        <v>20060</v>
      </c>
      <c r="D45" s="12"/>
      <c r="F45" s="12"/>
    </row>
    <row r="46" spans="1:6" x14ac:dyDescent="0.25">
      <c r="A46" s="7" t="s">
        <v>112</v>
      </c>
      <c r="B46" s="12" t="str">
        <f t="shared" si="0"/>
        <v>21000</v>
      </c>
      <c r="D46" s="12"/>
      <c r="F46" s="12"/>
    </row>
    <row r="47" spans="1:6" x14ac:dyDescent="0.25">
      <c r="A47" s="7" t="s">
        <v>113</v>
      </c>
      <c r="B47" s="12" t="str">
        <f t="shared" si="0"/>
        <v>21002</v>
      </c>
      <c r="D47" s="12"/>
      <c r="F47" s="12"/>
    </row>
    <row r="48" spans="1:6" x14ac:dyDescent="0.25">
      <c r="A48" s="7" t="s">
        <v>114</v>
      </c>
      <c r="B48" s="12" t="str">
        <f t="shared" si="0"/>
        <v>21004</v>
      </c>
      <c r="D48" s="12"/>
      <c r="F48" s="12"/>
    </row>
    <row r="49" spans="1:6" x14ac:dyDescent="0.25">
      <c r="A49" s="7" t="s">
        <v>115</v>
      </c>
      <c r="B49" s="12" t="str">
        <f t="shared" si="0"/>
        <v>21006</v>
      </c>
      <c r="D49" s="12"/>
      <c r="F49" s="12"/>
    </row>
    <row r="50" spans="1:6" x14ac:dyDescent="0.25">
      <c r="A50" s="7" t="s">
        <v>116</v>
      </c>
      <c r="B50" s="12" t="str">
        <f t="shared" si="0"/>
        <v>21008</v>
      </c>
      <c r="D50" s="12"/>
      <c r="F50" s="12"/>
    </row>
    <row r="51" spans="1:6" x14ac:dyDescent="0.25">
      <c r="A51" s="7" t="s">
        <v>117</v>
      </c>
      <c r="B51" s="12" t="str">
        <f t="shared" si="0"/>
        <v>21010</v>
      </c>
      <c r="D51" s="12"/>
      <c r="F51" s="12"/>
    </row>
    <row r="52" spans="1:6" x14ac:dyDescent="0.25">
      <c r="A52" s="7" t="s">
        <v>118</v>
      </c>
      <c r="B52" s="12" t="str">
        <f t="shared" si="0"/>
        <v>21012</v>
      </c>
      <c r="D52" s="12"/>
      <c r="F52" s="12"/>
    </row>
    <row r="53" spans="1:6" x14ac:dyDescent="0.25">
      <c r="A53" s="7" t="s">
        <v>119</v>
      </c>
      <c r="B53" s="12" t="str">
        <f t="shared" si="0"/>
        <v>21014</v>
      </c>
      <c r="D53" s="12"/>
      <c r="F53" s="12"/>
    </row>
    <row r="54" spans="1:6" x14ac:dyDescent="0.25">
      <c r="A54" s="9" t="s">
        <v>120</v>
      </c>
      <c r="B54" s="12" t="str">
        <f t="shared" si="0"/>
        <v>21016</v>
      </c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19" sqref="C19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67.1640625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3" t="s">
        <v>85</v>
      </c>
      <c r="B1" s="42" t="s">
        <v>166</v>
      </c>
    </row>
    <row r="2" spans="1:3" ht="18.75" x14ac:dyDescent="0.3">
      <c r="B2" s="41" t="s">
        <v>176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  <c r="C6" s="2" t="s">
        <v>177</v>
      </c>
    </row>
    <row r="7" spans="1:3" ht="15" x14ac:dyDescent="0.25">
      <c r="A7" s="3" t="s">
        <v>153</v>
      </c>
      <c r="B7" s="1"/>
      <c r="C7" s="2" t="s">
        <v>178</v>
      </c>
    </row>
    <row r="10" spans="1:3" ht="23.25" x14ac:dyDescent="0.35">
      <c r="A10" s="18" t="s">
        <v>162</v>
      </c>
    </row>
    <row r="11" spans="1:3" ht="15" x14ac:dyDescent="0.25">
      <c r="A11" s="33" t="s">
        <v>86</v>
      </c>
      <c r="B11" s="17" t="s">
        <v>87</v>
      </c>
      <c r="C11" s="17" t="s">
        <v>88</v>
      </c>
    </row>
    <row r="12" spans="1:3" ht="15" x14ac:dyDescent="0.25">
      <c r="A12" s="33">
        <v>44927</v>
      </c>
      <c r="B12" s="17" t="s">
        <v>59</v>
      </c>
      <c r="C12" s="17">
        <v>200</v>
      </c>
    </row>
    <row r="13" spans="1:3" ht="15" x14ac:dyDescent="0.25">
      <c r="A13" s="33">
        <v>44928</v>
      </c>
      <c r="B13" s="17" t="s">
        <v>60</v>
      </c>
      <c r="C13" s="17">
        <v>20</v>
      </c>
    </row>
    <row r="14" spans="1:3" ht="15" x14ac:dyDescent="0.25">
      <c r="A14" s="33">
        <v>44929</v>
      </c>
      <c r="B14" s="17" t="s">
        <v>61</v>
      </c>
      <c r="C14" s="17">
        <v>50</v>
      </c>
    </row>
    <row r="15" spans="1:3" ht="15" x14ac:dyDescent="0.25">
      <c r="A15" s="33">
        <v>44930</v>
      </c>
      <c r="B15" s="17" t="s">
        <v>62</v>
      </c>
      <c r="C15" s="17">
        <v>20</v>
      </c>
    </row>
    <row r="16" spans="1:3" ht="15" x14ac:dyDescent="0.25">
      <c r="A16" s="33">
        <v>44931</v>
      </c>
      <c r="B16" s="17" t="s">
        <v>63</v>
      </c>
      <c r="C16" s="17">
        <v>10</v>
      </c>
    </row>
    <row r="17" spans="1:3" ht="15" x14ac:dyDescent="0.25">
      <c r="A17" s="33">
        <v>44932</v>
      </c>
      <c r="B17" s="17" t="s">
        <v>154</v>
      </c>
      <c r="C17" s="17">
        <v>150</v>
      </c>
    </row>
    <row r="18" spans="1:3" ht="15" x14ac:dyDescent="0.25">
      <c r="A18" s="33">
        <v>44933</v>
      </c>
      <c r="B18" s="17" t="s">
        <v>155</v>
      </c>
      <c r="C18" s="17">
        <v>80</v>
      </c>
    </row>
    <row r="19" spans="1:3" ht="15" x14ac:dyDescent="0.25">
      <c r="A19" s="33">
        <v>44934</v>
      </c>
      <c r="B19" s="17" t="s">
        <v>156</v>
      </c>
      <c r="C19" s="17">
        <v>20</v>
      </c>
    </row>
    <row r="20" spans="1:3" ht="15" x14ac:dyDescent="0.25">
      <c r="A20" s="33">
        <v>44935</v>
      </c>
      <c r="B20" s="17" t="s">
        <v>157</v>
      </c>
      <c r="C20" s="17">
        <v>30</v>
      </c>
    </row>
    <row r="21" spans="1:3" ht="15" x14ac:dyDescent="0.25">
      <c r="A21" s="33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22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3" t="s">
        <v>98</v>
      </c>
      <c r="B1" s="42" t="s">
        <v>174</v>
      </c>
    </row>
    <row r="3" spans="1:14" ht="15" x14ac:dyDescent="0.25">
      <c r="B3" s="1" t="s">
        <v>151</v>
      </c>
    </row>
    <row r="4" spans="1:14" ht="18.75" x14ac:dyDescent="0.3">
      <c r="A4" s="44" t="s">
        <v>53</v>
      </c>
      <c r="B4" s="1"/>
    </row>
    <row r="5" spans="1:14" ht="18.75" x14ac:dyDescent="0.3">
      <c r="A5" s="44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5"/>
    </row>
    <row r="24" spans="1:14" ht="15" x14ac:dyDescent="0.25">
      <c r="A24" s="7">
        <v>10100</v>
      </c>
      <c r="B24" s="12">
        <v>10104</v>
      </c>
      <c r="C24" s="45"/>
    </row>
    <row r="25" spans="1:14" ht="15" x14ac:dyDescent="0.25">
      <c r="A25" s="7">
        <v>10108</v>
      </c>
      <c r="B25" s="12">
        <v>10102</v>
      </c>
      <c r="C25" s="45"/>
    </row>
    <row r="26" spans="1:14" ht="15" x14ac:dyDescent="0.25">
      <c r="A26" s="7">
        <v>10100</v>
      </c>
      <c r="B26" s="12">
        <v>10106</v>
      </c>
      <c r="C26" s="45"/>
    </row>
    <row r="27" spans="1:14" ht="15" x14ac:dyDescent="0.25">
      <c r="A27" s="7">
        <v>10108</v>
      </c>
      <c r="B27" s="12">
        <v>10110</v>
      </c>
      <c r="C27" s="45"/>
    </row>
    <row r="28" spans="1:14" ht="15" x14ac:dyDescent="0.25">
      <c r="A28" s="7">
        <v>10102</v>
      </c>
      <c r="B28" s="12">
        <v>10104</v>
      </c>
      <c r="C28" s="45"/>
    </row>
    <row r="29" spans="1:14" ht="15" x14ac:dyDescent="0.25">
      <c r="A29" s="7">
        <v>10106</v>
      </c>
      <c r="B29" s="12">
        <v>10108</v>
      </c>
      <c r="C29" s="45"/>
    </row>
    <row r="30" spans="1:14" ht="15" x14ac:dyDescent="0.25">
      <c r="A30" s="7">
        <v>10102</v>
      </c>
      <c r="B30" s="12">
        <v>10106</v>
      </c>
      <c r="C30" s="45"/>
    </row>
    <row r="31" spans="1:14" ht="15" x14ac:dyDescent="0.25">
      <c r="A31" s="7">
        <v>10110</v>
      </c>
      <c r="B31" s="12">
        <v>10114</v>
      </c>
      <c r="C31" s="45"/>
    </row>
    <row r="32" spans="1:14" ht="15" x14ac:dyDescent="0.25">
      <c r="A32" s="7">
        <v>10104</v>
      </c>
      <c r="B32" s="12">
        <v>10106</v>
      </c>
      <c r="C32" s="45"/>
    </row>
    <row r="33" spans="1:3" ht="15" x14ac:dyDescent="0.25">
      <c r="A33" s="7">
        <v>10110</v>
      </c>
      <c r="B33" s="12">
        <v>10112</v>
      </c>
      <c r="C33" s="45"/>
    </row>
    <row r="34" spans="1:3" ht="15" x14ac:dyDescent="0.25">
      <c r="A34" s="7">
        <v>10100</v>
      </c>
      <c r="B34" s="12">
        <v>10114</v>
      </c>
      <c r="C34" s="45"/>
    </row>
    <row r="35" spans="1:3" ht="15" x14ac:dyDescent="0.25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pc</cp:lastModifiedBy>
  <dcterms:created xsi:type="dcterms:W3CDTF">2015-02-10T17:33:11Z</dcterms:created>
  <dcterms:modified xsi:type="dcterms:W3CDTF">2023-12-09T13:29:14Z</dcterms:modified>
</cp:coreProperties>
</file>